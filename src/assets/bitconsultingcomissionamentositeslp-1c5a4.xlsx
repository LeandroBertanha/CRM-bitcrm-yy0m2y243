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leandro.bertanha/Documents/BL Systems/Plano Financeiro/"/>
    </mc:Choice>
  </mc:AlternateContent>
  <xr:revisionPtr revIDLastSave="0" documentId="13_ncr:1_{3C6D64DD-E0B5-E04B-87F4-C19E733AF06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omissionamento" sheetId="1" r:id="rId1"/>
    <sheet name="Regras" sheetId="2" r:id="rId2"/>
    <sheet name="Simulador" sheetId="3" r:id="rId3"/>
  </sheets>
  <definedNames>
    <definedName name="_xlnm.Print_Area" localSheetId="0">Comissionamento!$A$1:$D$27</definedName>
    <definedName name="_xlnm.Print_Area" localSheetId="1">Regras!$A$1:$C$14</definedName>
    <definedName name="_xlnm.Print_Area" localSheetId="2">Simulador!$A$1:$D$26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3" l="1"/>
  <c r="C26" i="3" s="1"/>
  <c r="D26" i="3" s="1"/>
  <c r="B25" i="3"/>
  <c r="C25" i="3" s="1"/>
  <c r="D25" i="3" s="1"/>
  <c r="B24" i="3"/>
  <c r="C24" i="3" s="1"/>
  <c r="D24" i="3" s="1"/>
  <c r="B23" i="3"/>
  <c r="C23" i="3" s="1"/>
  <c r="D23" i="3" s="1"/>
  <c r="B22" i="3"/>
  <c r="C22" i="3" s="1"/>
  <c r="D22" i="3" s="1"/>
  <c r="B21" i="3"/>
  <c r="C21" i="3" s="1"/>
  <c r="D21" i="3" s="1"/>
  <c r="B11" i="3"/>
  <c r="B12" i="3" s="1"/>
  <c r="B13" i="3" s="1"/>
  <c r="B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000-000001000000}">
      <text>
        <r>
          <rPr>
            <sz val="10"/>
            <rFont val="Arial"/>
            <family val="2"/>
          </rPr>
          <t>Fonte: política comercial informada pelo usuário nesta conversa em 30/09/2026.</t>
        </r>
      </text>
    </comment>
    <comment ref="B7" authorId="0" shapeId="0" xr:uid="{00000000-0006-0000-0000-000002000000}">
      <text>
        <r>
          <rPr>
            <sz val="10"/>
            <rFont val="Arial"/>
            <family val="2"/>
          </rPr>
          <t>Fonte: política comercial informada pelo usuário nesta conversa em 30/09/2026.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200-000001000000}">
      <text>
        <r>
          <rPr>
            <sz val="10"/>
            <color rgb="FF000000"/>
            <rFont val="Arial"/>
            <family val="2"/>
          </rPr>
          <t>Fonte: política comercial informada pelo usuário nesta conversa em 30/09/2026.</t>
        </r>
      </text>
    </comment>
    <comment ref="B6" authorId="0" shapeId="0" xr:uid="{00000000-0006-0000-0200-000002000000}">
      <text>
        <r>
          <rPr>
            <sz val="10"/>
            <rFont val="Arial"/>
            <family val="2"/>
          </rPr>
          <t>Fonte: política comercial informada pelo usuário nesta conversa em 30/09/2026.</t>
        </r>
      </text>
    </comment>
    <comment ref="B7" authorId="0" shapeId="0" xr:uid="{00000000-0006-0000-0200-000003000000}">
      <text>
        <r>
          <rPr>
            <sz val="10"/>
            <rFont val="Arial"/>
            <family val="2"/>
          </rPr>
          <t>Fonte: política comercial informada pelo usuário nesta conversa em 30/09/2026.</t>
        </r>
      </text>
    </comment>
  </commentList>
</comments>
</file>

<file path=xl/sharedStrings.xml><?xml version="1.0" encoding="utf-8"?>
<sst xmlns="http://schemas.openxmlformats.org/spreadsheetml/2006/main" count="74" uniqueCount="73">
  <si>
    <t>BIT CONSULTING</t>
  </si>
  <si>
    <t>PLANO DE COMISSIONAMENTO — SITES E LANDING PAGES</t>
  </si>
  <si>
    <t>CONDIÇÕES COMERCIAIS</t>
  </si>
  <si>
    <t>Produto</t>
  </si>
  <si>
    <t>Site ou Landing Page sob medida</t>
  </si>
  <si>
    <t>Valor de venda</t>
  </si>
  <si>
    <t>R$500,00</t>
  </si>
  <si>
    <t>Hospedagem mensal</t>
  </si>
  <si>
    <t>R$55,00</t>
  </si>
  <si>
    <t>Base de comissão</t>
  </si>
  <si>
    <t>Somente o valor da venda do Site/LP</t>
  </si>
  <si>
    <t>TABELA DE COMISSÃO</t>
  </si>
  <si>
    <t>Vendas válidas no mês</t>
  </si>
  <si>
    <t>Comissão</t>
  </si>
  <si>
    <t>Comissão por venda</t>
  </si>
  <si>
    <t>Critério</t>
  </si>
  <si>
    <t>1 a 4 vendas</t>
  </si>
  <si>
    <t>R$100,00</t>
  </si>
  <si>
    <t>Faixa 1</t>
  </si>
  <si>
    <t>5 a 9 vendas</t>
  </si>
  <si>
    <t>R$125,00</t>
  </si>
  <si>
    <t>Faixa 2</t>
  </si>
  <si>
    <t>10 ou mais vendas</t>
  </si>
  <si>
    <t>R$150,00</t>
  </si>
  <si>
    <t>Faixa 3</t>
  </si>
  <si>
    <t>REGRAS ESSENCIAIS</t>
  </si>
  <si>
    <t>• A comissão incide exclusivamente sobre o valor da venda do Site/LP (R$500,00).</t>
  </si>
  <si>
    <t>• A hospedagem de R$55,00/mês não integra a base de comissão.</t>
  </si>
  <si>
    <t>• A faixa de comissão é definida pela quantidade total de vendas válidas e recebidas no mês.</t>
  </si>
  <si>
    <t>• Ao atingir uma nova faixa, o percentual daquela faixa é aplicado às vendas válidas do mês.</t>
  </si>
  <si>
    <t>• A comissão é devida somente após o efetivo recebimento do valor da venda pela Bit Consulting.</t>
  </si>
  <si>
    <t>• Vendas canceladas, estornadas, não pagas ou reembolsadas não geram comissão.</t>
  </si>
  <si>
    <t>Política comercial destinada ao time de vendas da Bit Consulting.</t>
  </si>
  <si>
    <t>BIT CONSULTING — REGRAS DE COMISSIONAMENTO</t>
  </si>
  <si>
    <t>Sites e Landing Pages sob medida</t>
  </si>
  <si>
    <t>Regra</t>
  </si>
  <si>
    <t>Descrição</t>
  </si>
  <si>
    <t>1. Produto elegível</t>
  </si>
  <si>
    <t>Site ou Landing Page sob medida vendido pelo valor comercial vigente de R$500,00.</t>
  </si>
  <si>
    <t>2. Base de cálculo</t>
  </si>
  <si>
    <t>A comissão é calculada exclusivamente sobre o valor de R$500,00 referente à venda do Site/LP.</t>
  </si>
  <si>
    <t>3. Hospedagem</t>
  </si>
  <si>
    <t>A mensalidade de R$55,00 referente à hospedagem com domínio próprio não possui comissão.</t>
  </si>
  <si>
    <t>4. Faixa de 1 a 4 vendas</t>
  </si>
  <si>
    <t>Comissão de 20%, equivalente a R$100,00 por venda válida.</t>
  </si>
  <si>
    <t>5. Faixa de 5 a 9 vendas</t>
  </si>
  <si>
    <t>Comissão de 25%, equivalente a R$125,00 por venda válida.</t>
  </si>
  <si>
    <t>6. Faixa de 10+ vendas</t>
  </si>
  <si>
    <t>Comissão de 30%, equivalente a R$150,00 por venda válida.</t>
  </si>
  <si>
    <t>7. Apuração mensal</t>
  </si>
  <si>
    <t>A faixa é determinada pelo total de vendas válidas e efetivamente recebidas dentro do mês de apuração.</t>
  </si>
  <si>
    <t>8. Aplicação da faixa</t>
  </si>
  <si>
    <t>Ao atingir uma nova faixa, o percentual correspondente é aplicado às vendas válidas daquele mês.</t>
  </si>
  <si>
    <t>9. Condição para pagamento</t>
  </si>
  <si>
    <t>A comissão somente é gerada após o efetivo recebimento do cliente pela Bit Consulting.</t>
  </si>
  <si>
    <t>10. Cancelamentos e estornos</t>
  </si>
  <si>
    <t>Vendas canceladas, estornadas, não pagas ou reembolsadas são excluídas da apuração da comissão.</t>
  </si>
  <si>
    <t>BIT CONSULTING — SIMULADOR DE COMISSÃO</t>
  </si>
  <si>
    <t>Informe a quantidade de vendas válidas e recebidas no mês.</t>
  </si>
  <si>
    <t>ENTRADA</t>
  </si>
  <si>
    <t>Quantidade de vendas válidas no mês</t>
  </si>
  <si>
    <t>Valor por Site/LP</t>
  </si>
  <si>
    <t>Hospedagem mensal (fora da comissão)</t>
  </si>
  <si>
    <t>RESULTADO</t>
  </si>
  <si>
    <t>Faixa atingida</t>
  </si>
  <si>
    <t>Percentual de comissão</t>
  </si>
  <si>
    <t>Total de comissão no mês</t>
  </si>
  <si>
    <t>Observação: a hospedagem mensal não participa da comissão e não altera o resultado acima.</t>
  </si>
  <si>
    <t>EXEMPLOS DE COMISSÃO</t>
  </si>
  <si>
    <t>Vendas</t>
  </si>
  <si>
    <t>Percentual</t>
  </si>
  <si>
    <t>Comissão/venda</t>
  </si>
  <si>
    <t>Comissão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</si>
</sst>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;[Red]&quot;(R$&quot;#,##0.00\);\-"/>
  </numFmts>
  <fonts count="18" x14ac:knownFonts="1">
    <font>
      <sz val="11"/>
      <color theme="1"/>
      <name val="Calibri"/>
      <family val="2"/>
      <charset val="1"/>
    </font>
    <font>
      <b/>
      <sz val="20"/>
      <color rgb="FFFFFFFF"/>
      <name val="Cambria"/>
      <charset val="1"/>
    </font>
    <font>
      <b/>
      <sz val="13"/>
      <color rgb="FF0B2545"/>
      <name val="Cambria"/>
      <charset val="1"/>
    </font>
    <font>
      <b/>
      <sz val="11"/>
      <color rgb="FFFFFFFF"/>
      <name val="Cambria"/>
      <charset val="1"/>
    </font>
    <font>
      <b/>
      <sz val="11"/>
      <color rgb="FF111827"/>
      <name val="Cambria"/>
      <charset val="1"/>
    </font>
    <font>
      <sz val="11"/>
      <color rgb="FF6B7280"/>
      <name val="Cambria"/>
      <charset val="1"/>
    </font>
    <font>
      <sz val="11"/>
      <color rgb="FF0000FF"/>
      <name val="Cambria"/>
      <charset val="1"/>
    </font>
    <font>
      <b/>
      <sz val="11"/>
      <color rgb="FF1D4ED8"/>
      <name val="Cambria"/>
      <charset val="1"/>
    </font>
    <font>
      <sz val="10"/>
      <color rgb="FF111827"/>
      <name val="Cambria"/>
      <charset val="1"/>
    </font>
    <font>
      <i/>
      <sz val="9"/>
      <color rgb="FF6B7280"/>
      <name val="Cambria"/>
      <charset val="1"/>
    </font>
    <font>
      <sz val="10"/>
      <name val="Arial"/>
      <family val="2"/>
    </font>
    <font>
      <b/>
      <sz val="18"/>
      <color rgb="FFFFFFFF"/>
      <name val="Cambria"/>
      <charset val="1"/>
    </font>
    <font>
      <b/>
      <sz val="12"/>
      <color rgb="FF0B2545"/>
      <name val="Cambria"/>
      <charset val="1"/>
    </font>
    <font>
      <b/>
      <sz val="11"/>
      <color rgb="FF0B2545"/>
      <name val="Cambria"/>
      <charset val="1"/>
    </font>
    <font>
      <sz val="11"/>
      <color rgb="FF0B2545"/>
      <name val="Cambria"/>
      <charset val="1"/>
    </font>
    <font>
      <sz val="11"/>
      <color rgb="FF000000"/>
      <name val="Cambria"/>
      <charset val="1"/>
    </font>
    <font>
      <b/>
      <sz val="12"/>
      <color rgb="FF0F766E"/>
      <name val="Cambria"/>
      <charset val="1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B2545"/>
        <bgColor rgb="FF111827"/>
      </patternFill>
    </fill>
    <fill>
      <patternFill patternType="solid">
        <fgColor rgb="FFEAF2FF"/>
        <bgColor rgb="FFF6F9FC"/>
      </patternFill>
    </fill>
    <fill>
      <patternFill patternType="solid">
        <fgColor rgb="FFF6F9FC"/>
        <bgColor rgb="FFFFFFFF"/>
      </patternFill>
    </fill>
    <fill>
      <patternFill patternType="solid">
        <fgColor rgb="FF1D4ED8"/>
        <bgColor rgb="FF3366FF"/>
      </patternFill>
    </fill>
    <fill>
      <patternFill patternType="solid">
        <fgColor rgb="FFFFF9C4"/>
        <bgColor rgb="FFFFFF99"/>
      </patternFill>
    </fill>
    <fill>
      <patternFill patternType="solid">
        <fgColor rgb="FFD1FAE5"/>
        <bgColor rgb="FF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4" fillId="3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164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9" fontId="7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9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6" fillId="6" borderId="0" xfId="0" applyNumberFormat="1" applyFont="1" applyFill="1" applyAlignment="1">
      <alignment vertical="center"/>
    </xf>
    <xf numFmtId="164" fontId="6" fillId="6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9" fontId="15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164" fontId="16" fillId="7" borderId="0" xfId="0" applyNumberFormat="1" applyFont="1" applyFill="1" applyAlignment="1">
      <alignment vertical="center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9C4"/>
      <rgbColor rgb="FFEAF2FF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9FC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B2545"/>
      <rgbColor rgb="FF339966"/>
      <rgbColor rgb="FF11182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showGridLines="0" tabSelected="1" zoomScale="170" zoomScaleNormal="100" workbookViewId="0">
      <pane ySplit="4" topLeftCell="A5" activePane="bottomLeft" state="frozen"/>
      <selection pane="bottomLeft" sqref="A1:D1"/>
    </sheetView>
  </sheetViews>
  <sheetFormatPr baseColWidth="10" defaultColWidth="8.6640625" defaultRowHeight="15" customHeight="1" x14ac:dyDescent="0.2"/>
  <cols>
    <col min="1" max="1" width="26" customWidth="1"/>
    <col min="2" max="2" width="20" customWidth="1"/>
    <col min="3" max="3" width="23" customWidth="1"/>
    <col min="4" max="4" width="33" customWidth="1"/>
  </cols>
  <sheetData>
    <row r="1" spans="1:4" ht="31.5" customHeight="1" x14ac:dyDescent="0.2">
      <c r="A1" s="14" t="s">
        <v>0</v>
      </c>
      <c r="B1" s="14"/>
      <c r="C1" s="14"/>
      <c r="D1" s="14"/>
    </row>
    <row r="2" spans="1:4" ht="25.5" customHeight="1" x14ac:dyDescent="0.2">
      <c r="A2" s="13" t="s">
        <v>1</v>
      </c>
      <c r="B2" s="13"/>
      <c r="C2" s="13"/>
      <c r="D2" s="13"/>
    </row>
    <row r="4" spans="1:4" ht="15" customHeight="1" x14ac:dyDescent="0.2">
      <c r="A4" s="12" t="s">
        <v>2</v>
      </c>
      <c r="B4" s="12"/>
      <c r="C4" s="12"/>
      <c r="D4" s="12"/>
    </row>
    <row r="5" spans="1:4" ht="15" customHeight="1" x14ac:dyDescent="0.2">
      <c r="A5" s="15" t="s">
        <v>3</v>
      </c>
      <c r="B5" s="11" t="s">
        <v>4</v>
      </c>
      <c r="C5" s="11"/>
      <c r="D5" s="11"/>
    </row>
    <row r="6" spans="1:4" ht="15" customHeight="1" x14ac:dyDescent="0.2">
      <c r="A6" s="15" t="s">
        <v>5</v>
      </c>
      <c r="B6" s="10" t="s">
        <v>6</v>
      </c>
      <c r="C6" s="10"/>
      <c r="D6" s="10"/>
    </row>
    <row r="7" spans="1:4" ht="15" customHeight="1" x14ac:dyDescent="0.2">
      <c r="A7" s="15" t="s">
        <v>7</v>
      </c>
      <c r="B7" s="10" t="s">
        <v>8</v>
      </c>
      <c r="C7" s="10"/>
      <c r="D7" s="10"/>
    </row>
    <row r="8" spans="1:4" ht="15" customHeight="1" x14ac:dyDescent="0.2">
      <c r="A8" s="15" t="s">
        <v>9</v>
      </c>
      <c r="B8" s="11" t="s">
        <v>10</v>
      </c>
      <c r="C8" s="11"/>
      <c r="D8" s="11"/>
    </row>
    <row r="11" spans="1:4" ht="15" customHeight="1" x14ac:dyDescent="0.2">
      <c r="A11" s="12" t="s">
        <v>11</v>
      </c>
      <c r="B11" s="12"/>
      <c r="C11" s="12"/>
      <c r="D11" s="12"/>
    </row>
    <row r="12" spans="1:4" ht="15" customHeight="1" x14ac:dyDescent="0.2">
      <c r="A12" s="16" t="s">
        <v>12</v>
      </c>
      <c r="B12" s="16" t="s">
        <v>13</v>
      </c>
      <c r="C12" s="16" t="s">
        <v>14</v>
      </c>
      <c r="D12" s="16" t="s">
        <v>15</v>
      </c>
    </row>
    <row r="13" spans="1:4" ht="15" customHeight="1" x14ac:dyDescent="0.2">
      <c r="A13" s="17" t="s">
        <v>16</v>
      </c>
      <c r="B13" s="18">
        <v>0.2</v>
      </c>
      <c r="C13" s="19" t="s">
        <v>17</v>
      </c>
      <c r="D13" s="17" t="s">
        <v>18</v>
      </c>
    </row>
    <row r="14" spans="1:4" ht="15" customHeight="1" x14ac:dyDescent="0.2">
      <c r="A14" s="20" t="s">
        <v>19</v>
      </c>
      <c r="B14" s="21">
        <v>0.25</v>
      </c>
      <c r="C14" s="22" t="s">
        <v>20</v>
      </c>
      <c r="D14" s="20" t="s">
        <v>21</v>
      </c>
    </row>
    <row r="15" spans="1:4" ht="15" customHeight="1" x14ac:dyDescent="0.2">
      <c r="A15" s="17" t="s">
        <v>22</v>
      </c>
      <c r="B15" s="18">
        <v>0.3</v>
      </c>
      <c r="C15" s="19" t="s">
        <v>23</v>
      </c>
      <c r="D15" s="17" t="s">
        <v>24</v>
      </c>
    </row>
    <row r="18" spans="1:4" ht="15" customHeight="1" x14ac:dyDescent="0.2">
      <c r="A18" s="12" t="s">
        <v>25</v>
      </c>
      <c r="B18" s="12"/>
      <c r="C18" s="12"/>
      <c r="D18" s="12"/>
    </row>
    <row r="19" spans="1:4" ht="25.5" customHeight="1" x14ac:dyDescent="0.2">
      <c r="A19" s="9" t="s">
        <v>26</v>
      </c>
      <c r="B19" s="9"/>
      <c r="C19" s="9"/>
      <c r="D19" s="9"/>
    </row>
    <row r="20" spans="1:4" ht="25.5" customHeight="1" x14ac:dyDescent="0.2">
      <c r="A20" s="8" t="s">
        <v>27</v>
      </c>
      <c r="B20" s="8"/>
      <c r="C20" s="8"/>
      <c r="D20" s="8"/>
    </row>
    <row r="21" spans="1:4" ht="25.5" customHeight="1" x14ac:dyDescent="0.2">
      <c r="A21" s="9" t="s">
        <v>28</v>
      </c>
      <c r="B21" s="9"/>
      <c r="C21" s="9"/>
      <c r="D21" s="9"/>
    </row>
    <row r="22" spans="1:4" ht="25.5" customHeight="1" x14ac:dyDescent="0.2">
      <c r="A22" s="8" t="s">
        <v>29</v>
      </c>
      <c r="B22" s="8"/>
      <c r="C22" s="8"/>
      <c r="D22" s="8"/>
    </row>
    <row r="23" spans="1:4" ht="25.5" customHeight="1" x14ac:dyDescent="0.2">
      <c r="A23" s="9" t="s">
        <v>30</v>
      </c>
      <c r="B23" s="9"/>
      <c r="C23" s="9"/>
      <c r="D23" s="9"/>
    </row>
    <row r="24" spans="1:4" ht="25.5" customHeight="1" x14ac:dyDescent="0.2">
      <c r="A24" s="8" t="s">
        <v>31</v>
      </c>
      <c r="B24" s="8"/>
      <c r="C24" s="8"/>
      <c r="D24" s="8"/>
    </row>
    <row r="27" spans="1:4" ht="15" customHeight="1" x14ac:dyDescent="0.2">
      <c r="A27" s="7" t="s">
        <v>32</v>
      </c>
      <c r="B27" s="7"/>
      <c r="C27" s="7"/>
      <c r="D27" s="7"/>
    </row>
  </sheetData>
  <mergeCells count="16">
    <mergeCell ref="A27:D27"/>
    <mergeCell ref="A20:D20"/>
    <mergeCell ref="A21:D21"/>
    <mergeCell ref="A22:D22"/>
    <mergeCell ref="A23:D23"/>
    <mergeCell ref="A24:D24"/>
    <mergeCell ref="B7:D7"/>
    <mergeCell ref="B8:D8"/>
    <mergeCell ref="A11:D11"/>
    <mergeCell ref="A18:D18"/>
    <mergeCell ref="A19:D19"/>
    <mergeCell ref="A1:D1"/>
    <mergeCell ref="A2:D2"/>
    <mergeCell ref="A4:D4"/>
    <mergeCell ref="B5:D5"/>
    <mergeCell ref="B6:D6"/>
  </mergeCells>
  <pageMargins left="0.3" right="0.3" top="0.5" bottom="0.5" header="0.511811023622047" footer="0.5"/>
  <pageSetup fitToHeight="0" orientation="landscape" horizontalDpi="300" verticalDpi="300"/>
  <headerFooter>
    <oddFooter>&amp;C&amp;8 &amp;K808080Bit Consulting | Comissionamento de Sites e Landing Pages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4"/>
  <sheetViews>
    <sheetView showGridLines="0" zoomScale="150" zoomScaleNormal="100" workbookViewId="0">
      <pane ySplit="4" topLeftCell="A5" activePane="bottomLeft" state="frozen"/>
      <selection pane="bottomLeft" sqref="A1:C1"/>
    </sheetView>
  </sheetViews>
  <sheetFormatPr baseColWidth="10" defaultColWidth="8.6640625" defaultRowHeight="15" customHeight="1" x14ac:dyDescent="0.2"/>
  <cols>
    <col min="1" max="1" width="29" customWidth="1"/>
    <col min="2" max="2" width="52" customWidth="1"/>
    <col min="3" max="3" width="18" customWidth="1"/>
  </cols>
  <sheetData>
    <row r="1" spans="1:3" ht="31.5" customHeight="1" x14ac:dyDescent="0.2">
      <c r="A1" s="6" t="s">
        <v>33</v>
      </c>
      <c r="B1" s="6"/>
      <c r="C1" s="6"/>
    </row>
    <row r="2" spans="1:3" ht="15" customHeight="1" x14ac:dyDescent="0.2">
      <c r="A2" s="5" t="s">
        <v>34</v>
      </c>
      <c r="B2" s="5"/>
      <c r="C2" s="5"/>
    </row>
    <row r="4" spans="1:3" ht="15" customHeight="1" x14ac:dyDescent="0.2">
      <c r="A4" s="23" t="s">
        <v>35</v>
      </c>
      <c r="B4" s="4" t="s">
        <v>36</v>
      </c>
      <c r="C4" s="4"/>
    </row>
    <row r="5" spans="1:3" ht="36" customHeight="1" x14ac:dyDescent="0.2">
      <c r="A5" s="24" t="s">
        <v>37</v>
      </c>
      <c r="B5" s="3" t="s">
        <v>38</v>
      </c>
      <c r="C5" s="3"/>
    </row>
    <row r="6" spans="1:3" ht="36" customHeight="1" x14ac:dyDescent="0.2">
      <c r="A6" s="25" t="s">
        <v>39</v>
      </c>
      <c r="B6" s="2" t="s">
        <v>40</v>
      </c>
      <c r="C6" s="2"/>
    </row>
    <row r="7" spans="1:3" ht="36" customHeight="1" x14ac:dyDescent="0.2">
      <c r="A7" s="24" t="s">
        <v>41</v>
      </c>
      <c r="B7" s="3" t="s">
        <v>42</v>
      </c>
      <c r="C7" s="3"/>
    </row>
    <row r="8" spans="1:3" ht="36" customHeight="1" x14ac:dyDescent="0.2">
      <c r="A8" s="25" t="s">
        <v>43</v>
      </c>
      <c r="B8" s="2" t="s">
        <v>44</v>
      </c>
      <c r="C8" s="2"/>
    </row>
    <row r="9" spans="1:3" ht="36" customHeight="1" x14ac:dyDescent="0.2">
      <c r="A9" s="24" t="s">
        <v>45</v>
      </c>
      <c r="B9" s="3" t="s">
        <v>46</v>
      </c>
      <c r="C9" s="3"/>
    </row>
    <row r="10" spans="1:3" ht="36" customHeight="1" x14ac:dyDescent="0.2">
      <c r="A10" s="25" t="s">
        <v>47</v>
      </c>
      <c r="B10" s="2" t="s">
        <v>48</v>
      </c>
      <c r="C10" s="2"/>
    </row>
    <row r="11" spans="1:3" ht="36" customHeight="1" x14ac:dyDescent="0.2">
      <c r="A11" s="24" t="s">
        <v>49</v>
      </c>
      <c r="B11" s="3" t="s">
        <v>50</v>
      </c>
      <c r="C11" s="3"/>
    </row>
    <row r="12" spans="1:3" ht="36" customHeight="1" x14ac:dyDescent="0.2">
      <c r="A12" s="25" t="s">
        <v>51</v>
      </c>
      <c r="B12" s="2" t="s">
        <v>52</v>
      </c>
      <c r="C12" s="2"/>
    </row>
    <row r="13" spans="1:3" ht="36" customHeight="1" x14ac:dyDescent="0.2">
      <c r="A13" s="24" t="s">
        <v>53</v>
      </c>
      <c r="B13" s="3" t="s">
        <v>54</v>
      </c>
      <c r="C13" s="3"/>
    </row>
    <row r="14" spans="1:3" ht="36" customHeight="1" x14ac:dyDescent="0.2">
      <c r="A14" s="25" t="s">
        <v>55</v>
      </c>
      <c r="B14" s="2" t="s">
        <v>56</v>
      </c>
      <c r="C14" s="2"/>
    </row>
  </sheetData>
  <mergeCells count="13">
    <mergeCell ref="B12:C12"/>
    <mergeCell ref="B13:C13"/>
    <mergeCell ref="B14:C14"/>
    <mergeCell ref="B7:C7"/>
    <mergeCell ref="B8:C8"/>
    <mergeCell ref="B9:C9"/>
    <mergeCell ref="B10:C10"/>
    <mergeCell ref="B11:C11"/>
    <mergeCell ref="A1:C1"/>
    <mergeCell ref="A2:C2"/>
    <mergeCell ref="B4:C4"/>
    <mergeCell ref="B5:C5"/>
    <mergeCell ref="B6:C6"/>
  </mergeCells>
  <pageMargins left="0.3" right="0.3" top="0.5" bottom="0.5" header="0.511811023622047" footer="0.5"/>
  <pageSetup fitToHeight="0" orientation="landscape" horizontalDpi="300" verticalDpi="300"/>
  <headerFooter>
    <oddFooter>&amp;C&amp;8 &amp;K808080Bit Consulting | Comissionamento de Sites e Landing Pages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6"/>
  <sheetViews>
    <sheetView showGridLines="0" zoomScale="141" zoomScaleNormal="100" workbookViewId="0">
      <pane ySplit="4" topLeftCell="A5" activePane="bottomLeft" state="frozen"/>
      <selection pane="bottomLeft" activeCell="B5" sqref="B5:C5"/>
    </sheetView>
  </sheetViews>
  <sheetFormatPr baseColWidth="10" defaultColWidth="8.6640625" defaultRowHeight="15" customHeight="1" x14ac:dyDescent="0.2"/>
  <cols>
    <col min="1" max="1" width="36" customWidth="1"/>
    <col min="2" max="4" width="20" customWidth="1"/>
  </cols>
  <sheetData>
    <row r="1" spans="1:4" ht="31.5" customHeight="1" x14ac:dyDescent="0.2">
      <c r="A1" s="6" t="s">
        <v>57</v>
      </c>
      <c r="B1" s="6"/>
      <c r="C1" s="6"/>
      <c r="D1" s="6"/>
    </row>
    <row r="2" spans="1:4" ht="15" customHeight="1" x14ac:dyDescent="0.2">
      <c r="A2" s="1" t="s">
        <v>58</v>
      </c>
      <c r="B2" s="1"/>
      <c r="C2" s="1"/>
      <c r="D2" s="1"/>
    </row>
    <row r="4" spans="1:4" ht="15" customHeight="1" x14ac:dyDescent="0.2">
      <c r="A4" s="12" t="s">
        <v>59</v>
      </c>
      <c r="B4" s="12"/>
      <c r="C4" s="12"/>
      <c r="D4" s="12"/>
    </row>
    <row r="5" spans="1:4" ht="15" customHeight="1" x14ac:dyDescent="0.2">
      <c r="A5" s="26" t="s">
        <v>60</v>
      </c>
      <c r="B5" s="31">
        <v>10</v>
      </c>
      <c r="C5" s="31"/>
    </row>
    <row r="6" spans="1:4" ht="15" customHeight="1" x14ac:dyDescent="0.2">
      <c r="A6" s="26" t="s">
        <v>61</v>
      </c>
      <c r="B6" s="32">
        <v>500</v>
      </c>
      <c r="C6" s="32"/>
    </row>
    <row r="7" spans="1:4" ht="15" customHeight="1" x14ac:dyDescent="0.2">
      <c r="A7" s="26" t="s">
        <v>62</v>
      </c>
      <c r="B7" s="32">
        <v>55</v>
      </c>
      <c r="C7" s="32"/>
    </row>
    <row r="9" spans="1:4" ht="15" customHeight="1" x14ac:dyDescent="0.2">
      <c r="A9" s="12" t="s">
        <v>63</v>
      </c>
      <c r="B9" s="12"/>
      <c r="C9" s="12"/>
      <c r="D9" s="12"/>
    </row>
    <row r="10" spans="1:4" ht="15" customHeight="1" x14ac:dyDescent="0.2">
      <c r="A10" s="26" t="s">
        <v>64</v>
      </c>
      <c r="B10" s="33" t="str">
        <f>IF(B5=0,"Sem vendas",IF(B5&lt;=4,"1 a 4 vendas",IF(B5&lt;=9,"5 a 9 vendas","10 ou mais vendas")))</f>
        <v>10 ou mais vendas</v>
      </c>
      <c r="C10" s="33"/>
    </row>
    <row r="11" spans="1:4" ht="15" customHeight="1" x14ac:dyDescent="0.2">
      <c r="A11" s="26" t="s">
        <v>65</v>
      </c>
      <c r="B11" s="34">
        <f>IF(B5=0,0,IF(B5&lt;=4,20%,IF(B5&lt;=9,25%,30%)))</f>
        <v>0.3</v>
      </c>
      <c r="C11" s="34"/>
    </row>
    <row r="12" spans="1:4" ht="15" customHeight="1" x14ac:dyDescent="0.2">
      <c r="A12" s="26" t="s">
        <v>14</v>
      </c>
      <c r="B12" s="35">
        <f>B6*B11</f>
        <v>150</v>
      </c>
      <c r="C12" s="35"/>
    </row>
    <row r="13" spans="1:4" ht="15" customHeight="1" x14ac:dyDescent="0.2">
      <c r="A13" s="26" t="s">
        <v>66</v>
      </c>
      <c r="B13" s="36">
        <f>B5*B12</f>
        <v>1500</v>
      </c>
      <c r="C13" s="36"/>
    </row>
    <row r="16" spans="1:4" ht="15" customHeight="1" x14ac:dyDescent="0.2">
      <c r="A16" s="37" t="s">
        <v>67</v>
      </c>
      <c r="B16" s="37"/>
      <c r="C16" s="37"/>
      <c r="D16" s="37"/>
    </row>
    <row r="19" spans="1:4" ht="15" customHeight="1" x14ac:dyDescent="0.2">
      <c r="A19" s="12" t="s">
        <v>68</v>
      </c>
      <c r="B19" s="12"/>
      <c r="C19" s="12"/>
      <c r="D19" s="12"/>
    </row>
    <row r="20" spans="1:4" ht="15" customHeight="1" x14ac:dyDescent="0.2">
      <c r="A20" s="23" t="s">
        <v>69</v>
      </c>
      <c r="B20" s="23" t="s">
        <v>70</v>
      </c>
      <c r="C20" s="23" t="s">
        <v>71</v>
      </c>
      <c r="D20" s="23" t="s">
        <v>72</v>
      </c>
    </row>
    <row r="21" spans="1:4" ht="15" customHeight="1" x14ac:dyDescent="0.2">
      <c r="A21" s="17">
        <v>1</v>
      </c>
      <c r="B21" s="27">
        <f t="shared" ref="B21:B26" si="0">IF(A21&lt;=4,20%,IF(A21&lt;=9,25%,30%))</f>
        <v>0.2</v>
      </c>
      <c r="C21" s="28">
        <f t="shared" ref="C21:C26" si="1">$B$6*B21</f>
        <v>100</v>
      </c>
      <c r="D21" s="28">
        <f t="shared" ref="D21:D26" si="2">A21*C21</f>
        <v>100</v>
      </c>
    </row>
    <row r="22" spans="1:4" ht="15" customHeight="1" x14ac:dyDescent="0.2">
      <c r="A22" s="20">
        <v>4</v>
      </c>
      <c r="B22" s="29">
        <f t="shared" si="0"/>
        <v>0.2</v>
      </c>
      <c r="C22" s="30">
        <f t="shared" si="1"/>
        <v>100</v>
      </c>
      <c r="D22" s="30">
        <f t="shared" si="2"/>
        <v>400</v>
      </c>
    </row>
    <row r="23" spans="1:4" ht="15" customHeight="1" x14ac:dyDescent="0.2">
      <c r="A23" s="17">
        <v>5</v>
      </c>
      <c r="B23" s="27">
        <f t="shared" si="0"/>
        <v>0.25</v>
      </c>
      <c r="C23" s="28">
        <f t="shared" si="1"/>
        <v>125</v>
      </c>
      <c r="D23" s="28">
        <f t="shared" si="2"/>
        <v>625</v>
      </c>
    </row>
    <row r="24" spans="1:4" ht="15" customHeight="1" x14ac:dyDescent="0.2">
      <c r="A24" s="20">
        <v>9</v>
      </c>
      <c r="B24" s="29">
        <f t="shared" si="0"/>
        <v>0.25</v>
      </c>
      <c r="C24" s="30">
        <f t="shared" si="1"/>
        <v>125</v>
      </c>
      <c r="D24" s="30">
        <f t="shared" si="2"/>
        <v>1125</v>
      </c>
    </row>
    <row r="25" spans="1:4" ht="15" customHeight="1" x14ac:dyDescent="0.2">
      <c r="A25" s="17">
        <v>10</v>
      </c>
      <c r="B25" s="27">
        <f t="shared" si="0"/>
        <v>0.3</v>
      </c>
      <c r="C25" s="28">
        <f t="shared" si="1"/>
        <v>150</v>
      </c>
      <c r="D25" s="28">
        <f t="shared" si="2"/>
        <v>1500</v>
      </c>
    </row>
    <row r="26" spans="1:4" ht="15" customHeight="1" x14ac:dyDescent="0.2">
      <c r="A26" s="20">
        <v>15</v>
      </c>
      <c r="B26" s="29">
        <f t="shared" si="0"/>
        <v>0.3</v>
      </c>
      <c r="C26" s="30">
        <f t="shared" si="1"/>
        <v>150</v>
      </c>
      <c r="D26" s="30">
        <f t="shared" si="2"/>
        <v>2250</v>
      </c>
    </row>
  </sheetData>
  <mergeCells count="13">
    <mergeCell ref="B13:C13"/>
    <mergeCell ref="A16:D16"/>
    <mergeCell ref="A19:D19"/>
    <mergeCell ref="B7:C7"/>
    <mergeCell ref="A9:D9"/>
    <mergeCell ref="B10:C10"/>
    <mergeCell ref="B11:C11"/>
    <mergeCell ref="B12:C12"/>
    <mergeCell ref="A1:D1"/>
    <mergeCell ref="A2:D2"/>
    <mergeCell ref="A4:D4"/>
    <mergeCell ref="B5:C5"/>
    <mergeCell ref="B6:C6"/>
  </mergeCells>
  <dataValidations count="1">
    <dataValidation type="whole" errorTitle="Quantidade inválida" error="Informe um número inteiro igual ou maior que zero." sqref="B5" xr:uid="{00000000-0002-0000-0200-000000000000}">
      <formula1>0</formula1>
      <formula2>10000</formula2>
    </dataValidation>
  </dataValidations>
  <pageMargins left="0.3" right="0.3" top="0.5" bottom="0.5" header="0.511811023622047" footer="0.5"/>
  <pageSetup fitToHeight="0" orientation="landscape" horizontalDpi="300" verticalDpi="300"/>
  <headerFooter>
    <oddFooter>&amp;C&amp;8 &amp;K808080Bit Consulting | Comissionamento de Sites e Landing Pages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Comissionamento</vt:lpstr>
      <vt:lpstr>Regras</vt:lpstr>
      <vt:lpstr>Simulador</vt:lpstr>
      <vt:lpstr>Comissionamento!Area_de_impressao</vt:lpstr>
      <vt:lpstr>Regras!Area_de_impressao</vt:lpstr>
      <vt:lpstr>Simulador!Area_de_impressao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Bertanha</cp:lastModifiedBy>
  <dcterms:modified xsi:type="dcterms:W3CDTF">2026-09-30T18:50:14Z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2026-09-30T17:59:11Z</dcterms:created>
  <dc:creator>openpyxl</dc:creator>
  <dc:description/>
  <dc:language>en-US</dc:language>
  <cp:lastModifiedBy/>
  <dcterms:modified xsi:type="dcterms:W3CDTF">2026-09-30T18:01:39Z</dcterms:modified>
  <cp:revision>0</cp:revision>
  <dc:subject/>
  <dc:title/>
</cp:coreProperties>
</file>